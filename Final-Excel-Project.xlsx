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Project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KPIs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'Analysis'!$A$2:$A$6</f>
            </numRef>
          </cat>
          <val>
            <numRef>
              <f>'Analysis'!$B$2:$B$6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inalProjectData" displayName="FinalProjectData" ref="A2:J14" headerRowCount="1">
  <autoFilter ref="A2:J14"/>
  <tableColumns count="10">
    <tableColumn id="1" name="Order ID"/>
    <tableColumn id="2" name="Date"/>
    <tableColumn id="3" name="Region"/>
    <tableColumn id="4" name="Product"/>
    <tableColumn id="5" name="Category"/>
    <tableColumn id="6" name="Salesperson"/>
    <tableColumn id="7" name="Quantity"/>
    <tableColumn id="8" name="Unit Price"/>
    <tableColumn id="9" name="Sales"/>
    <tableColumn id="10" name="Customer Typ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3" customWidth="1" min="5" max="5"/>
    <col width="13" customWidth="1" min="6" max="6"/>
    <col width="10" customWidth="1" min="7" max="7"/>
    <col width="12" customWidth="1" min="8" max="8"/>
    <col width="10" customWidth="1" min="9" max="9"/>
    <col width="15" customWidth="1" min="10" max="10"/>
  </cols>
  <sheetData>
    <row r="1">
      <c r="A1" s="1" t="inlineStr">
        <is>
          <t>Day 14 - Final Excel Project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Order ID</t>
        </is>
      </c>
      <c r="B2" s="3" t="inlineStr">
        <is>
          <t>Date</t>
        </is>
      </c>
      <c r="C2" s="3" t="inlineStr">
        <is>
          <t>Region</t>
        </is>
      </c>
      <c r="D2" s="3" t="inlineStr">
        <is>
          <t>Product</t>
        </is>
      </c>
      <c r="E2" s="3" t="inlineStr">
        <is>
          <t>Category</t>
        </is>
      </c>
      <c r="F2" s="3" t="inlineStr">
        <is>
          <t>Salesperson</t>
        </is>
      </c>
      <c r="G2" s="3" t="inlineStr">
        <is>
          <t>Quantity</t>
        </is>
      </c>
      <c r="H2" s="3" t="inlineStr">
        <is>
          <t>Unit Price</t>
        </is>
      </c>
      <c r="I2" s="3" t="inlineStr">
        <is>
          <t>Sales</t>
        </is>
      </c>
      <c r="J2" s="3" t="inlineStr">
        <is>
          <t>Customer Type</t>
        </is>
      </c>
    </row>
    <row r="3">
      <c r="A3" s="2" t="inlineStr">
        <is>
          <t>O2001</t>
        </is>
      </c>
      <c r="B3" s="4" t="n">
        <v>46027</v>
      </c>
      <c r="C3" s="2" t="inlineStr">
        <is>
          <t>North</t>
        </is>
      </c>
      <c r="D3" s="2" t="inlineStr">
        <is>
          <t>Laptop</t>
        </is>
      </c>
      <c r="E3" s="2" t="inlineStr">
        <is>
          <t>Electronics</t>
        </is>
      </c>
      <c r="F3" s="2" t="inlineStr">
        <is>
          <t>Aman</t>
        </is>
      </c>
      <c r="G3" s="2" t="n">
        <v>2</v>
      </c>
      <c r="H3" s="2" t="n">
        <v>55000</v>
      </c>
      <c r="I3" s="2">
        <f>G2*H2</f>
        <v/>
      </c>
      <c r="J3" s="2" t="inlineStr">
        <is>
          <t>Retail</t>
        </is>
      </c>
    </row>
    <row r="4">
      <c r="A4" s="2" t="inlineStr">
        <is>
          <t>O2002</t>
        </is>
      </c>
      <c r="B4" s="4" t="n">
        <v>46034</v>
      </c>
      <c r="C4" s="2" t="inlineStr">
        <is>
          <t>South</t>
        </is>
      </c>
      <c r="D4" s="2" t="inlineStr">
        <is>
          <t>Mouse</t>
        </is>
      </c>
      <c r="E4" s="2" t="inlineStr">
        <is>
          <t>Accessories</t>
        </is>
      </c>
      <c r="F4" s="2" t="inlineStr">
        <is>
          <t>Priya</t>
        </is>
      </c>
      <c r="G4" s="2" t="n">
        <v>10</v>
      </c>
      <c r="H4" s="2" t="n">
        <v>700</v>
      </c>
      <c r="I4" s="2">
        <f>G3*H3</f>
        <v/>
      </c>
      <c r="J4" s="2" t="inlineStr">
        <is>
          <t>Retail</t>
        </is>
      </c>
    </row>
    <row r="5">
      <c r="A5" s="2" t="inlineStr">
        <is>
          <t>O2003</t>
        </is>
      </c>
      <c r="B5" s="4" t="n">
        <v>46056</v>
      </c>
      <c r="C5" s="2" t="inlineStr">
        <is>
          <t>East</t>
        </is>
      </c>
      <c r="D5" s="2" t="inlineStr">
        <is>
          <t>Monitor</t>
        </is>
      </c>
      <c r="E5" s="2" t="inlineStr">
        <is>
          <t>Electronics</t>
        </is>
      </c>
      <c r="F5" s="2" t="inlineStr">
        <is>
          <t>Neha</t>
        </is>
      </c>
      <c r="G5" s="2" t="n">
        <v>3</v>
      </c>
      <c r="H5" s="2" t="n">
        <v>14000</v>
      </c>
      <c r="I5" s="2">
        <f>G4*H4</f>
        <v/>
      </c>
      <c r="J5" s="2" t="inlineStr">
        <is>
          <t>Corporate</t>
        </is>
      </c>
    </row>
    <row r="6">
      <c r="A6" s="2" t="inlineStr">
        <is>
          <t>O2004</t>
        </is>
      </c>
      <c r="B6" s="4" t="n">
        <v>46068</v>
      </c>
      <c r="C6" s="2" t="inlineStr">
        <is>
          <t>West</t>
        </is>
      </c>
      <c r="D6" s="2" t="inlineStr">
        <is>
          <t>Laptop</t>
        </is>
      </c>
      <c r="E6" s="2" t="inlineStr">
        <is>
          <t>Electronics</t>
        </is>
      </c>
      <c r="F6" s="2" t="inlineStr">
        <is>
          <t>Kunal</t>
        </is>
      </c>
      <c r="G6" s="2" t="n">
        <v>2</v>
      </c>
      <c r="H6" s="2" t="n">
        <v>54000</v>
      </c>
      <c r="I6" s="2">
        <f>G5*H5</f>
        <v/>
      </c>
      <c r="J6" s="2" t="inlineStr">
        <is>
          <t>Corporate</t>
        </is>
      </c>
    </row>
    <row r="7">
      <c r="A7" s="2" t="inlineStr">
        <is>
          <t>O2005</t>
        </is>
      </c>
      <c r="B7" s="4" t="n">
        <v>46083</v>
      </c>
      <c r="C7" s="2" t="inlineStr">
        <is>
          <t>North</t>
        </is>
      </c>
      <c r="D7" s="2" t="inlineStr">
        <is>
          <t>Keyboard</t>
        </is>
      </c>
      <c r="E7" s="2" t="inlineStr">
        <is>
          <t>Accessories</t>
        </is>
      </c>
      <c r="F7" s="2" t="inlineStr">
        <is>
          <t>Aman</t>
        </is>
      </c>
      <c r="G7" s="2" t="n">
        <v>8</v>
      </c>
      <c r="H7" s="2" t="n">
        <v>1200</v>
      </c>
      <c r="I7" s="2">
        <f>G6*H6</f>
        <v/>
      </c>
      <c r="J7" s="2" t="inlineStr">
        <is>
          <t>Retail</t>
        </is>
      </c>
    </row>
    <row r="8">
      <c r="A8" s="2" t="inlineStr">
        <is>
          <t>O2006</t>
        </is>
      </c>
      <c r="B8" s="4" t="n">
        <v>46101</v>
      </c>
      <c r="C8" s="2" t="inlineStr">
        <is>
          <t>South</t>
        </is>
      </c>
      <c r="D8" s="2" t="inlineStr">
        <is>
          <t>Laptop</t>
        </is>
      </c>
      <c r="E8" s="2" t="inlineStr">
        <is>
          <t>Electronics</t>
        </is>
      </c>
      <c r="F8" s="2" t="inlineStr">
        <is>
          <t>Priya</t>
        </is>
      </c>
      <c r="G8" s="2" t="n">
        <v>1</v>
      </c>
      <c r="H8" s="2" t="n">
        <v>52000</v>
      </c>
      <c r="I8" s="2">
        <f>G7*H7</f>
        <v/>
      </c>
      <c r="J8" s="2" t="inlineStr">
        <is>
          <t>Corporate</t>
        </is>
      </c>
    </row>
    <row r="9">
      <c r="A9" s="2" t="inlineStr">
        <is>
          <t>O2007</t>
        </is>
      </c>
      <c r="B9" s="4" t="n">
        <v>46119</v>
      </c>
      <c r="C9" s="2" t="inlineStr">
        <is>
          <t>East</t>
        </is>
      </c>
      <c r="D9" s="2" t="inlineStr">
        <is>
          <t>Mouse</t>
        </is>
      </c>
      <c r="E9" s="2" t="inlineStr">
        <is>
          <t>Accessories</t>
        </is>
      </c>
      <c r="F9" s="2" t="inlineStr">
        <is>
          <t>Neha</t>
        </is>
      </c>
      <c r="G9" s="2" t="n">
        <v>15</v>
      </c>
      <c r="H9" s="2" t="n">
        <v>700</v>
      </c>
      <c r="I9" s="2">
        <f>G8*H8</f>
        <v/>
      </c>
      <c r="J9" s="2" t="inlineStr">
        <is>
          <t>Retail</t>
        </is>
      </c>
    </row>
    <row r="10">
      <c r="A10" s="2" t="inlineStr">
        <is>
          <t>O2008</t>
        </is>
      </c>
      <c r="B10" s="4" t="n">
        <v>46133</v>
      </c>
      <c r="C10" s="2" t="inlineStr">
        <is>
          <t>West</t>
        </is>
      </c>
      <c r="D10" s="2" t="inlineStr">
        <is>
          <t>Monitor</t>
        </is>
      </c>
      <c r="E10" s="2" t="inlineStr">
        <is>
          <t>Electronics</t>
        </is>
      </c>
      <c r="F10" s="2" t="inlineStr">
        <is>
          <t>Kunal</t>
        </is>
      </c>
      <c r="G10" s="2" t="n">
        <v>4</v>
      </c>
      <c r="H10" s="2" t="n">
        <v>13500</v>
      </c>
      <c r="I10" s="2">
        <f>G9*H9</f>
        <v/>
      </c>
      <c r="J10" s="2" t="inlineStr">
        <is>
          <t>Corporate</t>
        </is>
      </c>
    </row>
    <row r="11">
      <c r="A11" s="2" t="inlineStr">
        <is>
          <t>O2009</t>
        </is>
      </c>
      <c r="B11" s="4" t="n">
        <v>46152</v>
      </c>
      <c r="C11" s="2" t="inlineStr">
        <is>
          <t>North</t>
        </is>
      </c>
      <c r="D11" s="2" t="inlineStr">
        <is>
          <t>Laptop</t>
        </is>
      </c>
      <c r="E11" s="2" t="inlineStr">
        <is>
          <t>Electronics</t>
        </is>
      </c>
      <c r="F11" s="2" t="inlineStr">
        <is>
          <t>Aman</t>
        </is>
      </c>
      <c r="G11" s="2" t="n">
        <v>3</v>
      </c>
      <c r="H11" s="2" t="n">
        <v>56000</v>
      </c>
      <c r="I11" s="2">
        <f>G10*H10</f>
        <v/>
      </c>
      <c r="J11" s="2" t="inlineStr">
        <is>
          <t>Corporate</t>
        </is>
      </c>
    </row>
    <row r="12">
      <c r="A12" s="2" t="inlineStr">
        <is>
          <t>O2010</t>
        </is>
      </c>
      <c r="B12" s="4" t="n">
        <v>46170</v>
      </c>
      <c r="C12" s="2" t="inlineStr">
        <is>
          <t>South</t>
        </is>
      </c>
      <c r="D12" s="2" t="inlineStr">
        <is>
          <t>Keyboard</t>
        </is>
      </c>
      <c r="E12" s="2" t="inlineStr">
        <is>
          <t>Accessories</t>
        </is>
      </c>
      <c r="F12" s="2" t="inlineStr">
        <is>
          <t>Priya</t>
        </is>
      </c>
      <c r="G12" s="2" t="n">
        <v>6</v>
      </c>
      <c r="H12" s="2" t="n">
        <v>1150</v>
      </c>
      <c r="I12" s="2">
        <f>G11*H11</f>
        <v/>
      </c>
      <c r="J12" s="2" t="inlineStr">
        <is>
          <t>Retail</t>
        </is>
      </c>
    </row>
    <row r="13">
      <c r="A13" s="2" t="inlineStr">
        <is>
          <t>O2011</t>
        </is>
      </c>
      <c r="B13" s="4" t="n">
        <v>46182</v>
      </c>
      <c r="C13" s="2" t="inlineStr">
        <is>
          <t>East</t>
        </is>
      </c>
      <c r="D13" s="2" t="inlineStr">
        <is>
          <t>Laptop</t>
        </is>
      </c>
      <c r="E13" s="2" t="inlineStr">
        <is>
          <t>Electronics</t>
        </is>
      </c>
      <c r="F13" s="2" t="inlineStr">
        <is>
          <t>Neha</t>
        </is>
      </c>
      <c r="G13" s="2" t="n">
        <v>2</v>
      </c>
      <c r="H13" s="2" t="n">
        <v>53000</v>
      </c>
      <c r="I13" s="2">
        <f>G12*H12</f>
        <v/>
      </c>
      <c r="J13" s="2" t="inlineStr">
        <is>
          <t>Corporate</t>
        </is>
      </c>
    </row>
    <row r="14">
      <c r="A14" s="2" t="inlineStr">
        <is>
          <t>O2012</t>
        </is>
      </c>
      <c r="B14" s="4" t="n">
        <v>46198</v>
      </c>
      <c r="C14" s="2" t="inlineStr">
        <is>
          <t>West</t>
        </is>
      </c>
      <c r="D14" s="2" t="inlineStr">
        <is>
          <t>Mouse</t>
        </is>
      </c>
      <c r="E14" s="2" t="inlineStr">
        <is>
          <t>Accessories</t>
        </is>
      </c>
      <c r="F14" s="2" t="inlineStr">
        <is>
          <t>Kunal</t>
        </is>
      </c>
      <c r="G14" s="2" t="n">
        <v>12</v>
      </c>
      <c r="H14" s="2" t="n">
        <v>720</v>
      </c>
      <c r="I14" s="2">
        <f>G13*H13</f>
        <v/>
      </c>
      <c r="J14" s="2" t="inlineStr">
        <is>
          <t>Retail</t>
        </is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</cols>
  <sheetData>
    <row r="1">
      <c r="A1" s="1" t="inlineStr">
        <is>
          <t>Final Project KPIs</t>
        </is>
      </c>
      <c r="B1" s="2" t="n"/>
    </row>
    <row r="2">
      <c r="A2" s="3" t="inlineStr">
        <is>
          <t>KPI</t>
        </is>
      </c>
      <c r="B2" s="3" t="inlineStr">
        <is>
          <t>Value</t>
        </is>
      </c>
    </row>
    <row r="3">
      <c r="A3" s="2" t="inlineStr">
        <is>
          <t>Total Sales</t>
        </is>
      </c>
      <c r="B3" s="2">
        <f>SUM(Practice!I3:I14)</f>
        <v/>
      </c>
    </row>
    <row r="4">
      <c r="A4" s="2" t="inlineStr">
        <is>
          <t>Total Orders</t>
        </is>
      </c>
      <c r="B4" s="2">
        <f>COUNTA(Practice!A3:A14)</f>
        <v/>
      </c>
    </row>
    <row r="5">
      <c r="A5" s="2" t="inlineStr">
        <is>
          <t>Average Order Value</t>
        </is>
      </c>
      <c r="B5" s="2">
        <f>AVERAGE(Practice!I3:I14)</f>
        <v/>
      </c>
    </row>
    <row r="6">
      <c r="A6" s="2" t="inlineStr">
        <is>
          <t>North Sales</t>
        </is>
      </c>
      <c r="B6" s="2">
        <f>SUMIF(Practice!C3:C14,"North",Practice!I3:I14)</f>
        <v/>
      </c>
    </row>
    <row r="7">
      <c r="A7" s="2" t="inlineStr">
        <is>
          <t>Corporate Sales</t>
        </is>
      </c>
      <c r="B7" s="2">
        <f>SUMIF(Practice!J3:J14,"Corporate",Practice!I3:I14)</f>
        <v/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Final Project Guide</t>
        </is>
      </c>
      <c r="B1" s="2" t="n"/>
    </row>
    <row r="2">
      <c r="A2" s="3" t="inlineStr">
        <is>
          <t>Step</t>
        </is>
      </c>
      <c r="B2" s="3" t="inlineStr">
        <is>
          <t>Task</t>
        </is>
      </c>
    </row>
    <row r="3">
      <c r="A3" s="2" t="n">
        <v>1</v>
      </c>
      <c r="B3" s="2" t="inlineStr">
        <is>
          <t>Review and clean the sales dataset</t>
        </is>
      </c>
    </row>
    <row r="4">
      <c r="A4" s="2" t="n">
        <v>2</v>
      </c>
      <c r="B4" s="2" t="inlineStr">
        <is>
          <t>Use formulas to calculate Sales</t>
        </is>
      </c>
    </row>
    <row r="5">
      <c r="A5" s="2" t="n">
        <v>3</v>
      </c>
      <c r="B5" s="2" t="inlineStr">
        <is>
          <t>Use XLOOKUP/VLOOKUP if adding master data</t>
        </is>
      </c>
    </row>
    <row r="6">
      <c r="A6" s="2" t="n">
        <v>4</v>
      </c>
      <c r="B6" s="2" t="inlineStr">
        <is>
          <t>Create Pivot Tables for Region, Product and Category</t>
        </is>
      </c>
    </row>
    <row r="7">
      <c r="A7" s="2" t="n">
        <v>5</v>
      </c>
      <c r="B7" s="2" t="inlineStr">
        <is>
          <t>Create Pivot Charts</t>
        </is>
      </c>
    </row>
    <row r="8">
      <c r="A8" s="2" t="n">
        <v>6</v>
      </c>
      <c r="B8" s="2" t="inlineStr">
        <is>
          <t>Add slicers in Excel for Region/Category/Customer Type</t>
        </is>
      </c>
    </row>
    <row r="9">
      <c r="A9" s="2" t="n">
        <v>7</v>
      </c>
      <c r="B9" s="2" t="inlineStr">
        <is>
          <t>Build a dashboard with KPIs and charts</t>
        </is>
      </c>
    </row>
    <row r="10">
      <c r="A10" s="2" t="n">
        <v>8</v>
      </c>
      <c r="B10" s="2" t="inlineStr">
        <is>
          <t>Write 3-5 business insights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2026-09-22T05:10:24Z</dcterms:created>
  <dcterms:modified xmlns:dcterms="http://purl.org/dc/terms/" xmlns:xsi="http://www.w3.org/2001/XMLSchema-instance" xsi:type="dcterms:W3CDTF">2026-09-22T05:10:24Z</dcterms:modified>
</cp:coreProperties>
</file>